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5300" windowHeight="9420"/>
  </bookViews>
  <sheets>
    <sheet name="گردش حسا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1" l="1"/>
  <c r="E26" i="1"/>
  <c r="D26" i="1"/>
  <c r="B22" i="1"/>
  <c r="C22" i="1"/>
  <c r="F22" i="1"/>
  <c r="B23" i="1"/>
  <c r="C23" i="1"/>
  <c r="F23" i="1"/>
  <c r="B24" i="1"/>
  <c r="C24" i="1"/>
  <c r="F24" i="1"/>
  <c r="B25" i="1"/>
  <c r="C25" i="1"/>
  <c r="F25" i="1"/>
  <c r="B12" i="1"/>
  <c r="C12" i="1"/>
  <c r="F12" i="1"/>
  <c r="B13" i="1"/>
  <c r="C13" i="1"/>
  <c r="F13" i="1"/>
  <c r="B14" i="1"/>
  <c r="C14" i="1"/>
  <c r="F14" i="1"/>
  <c r="B15" i="1"/>
  <c r="C15" i="1"/>
  <c r="F15" i="1"/>
  <c r="B16" i="1"/>
  <c r="C16" i="1"/>
  <c r="F16" i="1"/>
  <c r="B17" i="1"/>
  <c r="C17" i="1"/>
  <c r="F17" i="1"/>
  <c r="B18" i="1"/>
  <c r="C18" i="1"/>
  <c r="F18" i="1"/>
  <c r="B19" i="1"/>
  <c r="C19" i="1"/>
  <c r="F19" i="1"/>
  <c r="B20" i="1"/>
  <c r="C20" i="1"/>
  <c r="F20" i="1"/>
  <c r="B21" i="1"/>
  <c r="C21" i="1"/>
  <c r="F21" i="1"/>
  <c r="B2" i="1"/>
  <c r="C2" i="1"/>
  <c r="F2" i="1"/>
  <c r="B3" i="1"/>
  <c r="C3" i="1"/>
  <c r="F3" i="1"/>
  <c r="B4" i="1"/>
  <c r="C4" i="1"/>
  <c r="F4" i="1"/>
  <c r="B5" i="1"/>
  <c r="C5" i="1"/>
  <c r="F5" i="1"/>
  <c r="B6" i="1"/>
  <c r="C6" i="1"/>
  <c r="F6" i="1"/>
  <c r="B7" i="1"/>
  <c r="C7" i="1"/>
  <c r="F7" i="1"/>
  <c r="B8" i="1"/>
  <c r="C8" i="1"/>
  <c r="F8" i="1"/>
  <c r="B9" i="1"/>
  <c r="C9" i="1"/>
  <c r="F9" i="1"/>
  <c r="B10" i="1"/>
  <c r="C10" i="1"/>
  <c r="F10" i="1"/>
  <c r="B11" i="1"/>
  <c r="C11" i="1"/>
  <c r="F11" i="1"/>
</calcChain>
</file>

<file path=xl/sharedStrings.xml><?xml version="1.0" encoding="utf-8"?>
<sst xmlns="http://schemas.openxmlformats.org/spreadsheetml/2006/main" count="6" uniqueCount="6">
  <si>
    <t>ردیف</t>
  </si>
  <si>
    <t>تاریخ</t>
  </si>
  <si>
    <t>شرح</t>
  </si>
  <si>
    <t>بدهکار</t>
  </si>
  <si>
    <t>بستانکار</t>
  </si>
  <si>
    <t>مانده حساب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</si>
</sst>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Tahoma"/>
      <family val="2"/>
    </font>
    <font>
      <sz val="11"/>
      <color theme="1"/>
      <name val="B Nazanin"/>
      <charset val="178"/>
    </font>
    <font>
      <sz val="11"/>
      <color rgb="FFFF0000"/>
      <name val="B Nazanin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rightToLeft="1" tabSelected="1" workbookViewId="0">
      <selection activeCell="D27" sqref="D27"/>
    </sheetView>
  </sheetViews>
  <sheetFormatPr defaultRowHeight="14.25" x14ac:dyDescent="0.2"/>
  <cols>
    <col min="1" max="1" width="3.875" style="1" customWidth="1"/>
    <col min="2" max="2" width="9" style="1"/>
    <col min="3" max="3" width="73.375" style="1" customWidth="1"/>
    <col min="4" max="4" width="10.125" style="1" bestFit="1" customWidth="1"/>
    <col min="5" max="16384" width="9" style="1"/>
  </cols>
  <sheetData>
    <row r="1" spans="1:6" ht="1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ht="18" x14ac:dyDescent="0.2">
      <c r="A2" s="2">
        <v>1</v>
      </c>
      <c r="B2" s="2" t="str">
        <f>"97/07/01"</f>
        <v>97/07/01</v>
      </c>
      <c r="C2" s="2" t="str">
        <f>"بابت شارژ مهر 97"</f>
        <v>بابت شارژ مهر 97</v>
      </c>
      <c r="D2" s="2">
        <v>5024415</v>
      </c>
      <c r="E2" s="2">
        <v>0</v>
      </c>
      <c r="F2" s="1" t="str">
        <f>""</f>
        <v/>
      </c>
    </row>
    <row r="3" spans="1:6" ht="18" x14ac:dyDescent="0.2">
      <c r="A3" s="2">
        <v>2</v>
      </c>
      <c r="B3" s="2" t="str">
        <f>"97/08/01"</f>
        <v>97/08/01</v>
      </c>
      <c r="C3" s="2" t="str">
        <f>"بابت شارژ آبان 97"</f>
        <v>بابت شارژ آبان 97</v>
      </c>
      <c r="D3" s="2">
        <v>5024415</v>
      </c>
      <c r="E3" s="2">
        <v>0</v>
      </c>
      <c r="F3" s="1" t="str">
        <f>""</f>
        <v/>
      </c>
    </row>
    <row r="4" spans="1:6" ht="18" x14ac:dyDescent="0.2">
      <c r="A4" s="2">
        <v>3</v>
      </c>
      <c r="B4" s="2" t="str">
        <f>"97/09/01"</f>
        <v>97/09/01</v>
      </c>
      <c r="C4" s="2" t="str">
        <f>"بابت شارژ آذر ماه97"</f>
        <v>بابت شارژ آذر ماه97</v>
      </c>
      <c r="D4" s="2">
        <v>5024415</v>
      </c>
      <c r="E4" s="2">
        <v>0</v>
      </c>
      <c r="F4" s="1" t="str">
        <f>""</f>
        <v/>
      </c>
    </row>
    <row r="5" spans="1:6" ht="18" x14ac:dyDescent="0.2">
      <c r="A5" s="2">
        <v>4</v>
      </c>
      <c r="B5" s="2" t="str">
        <f>"97/09/10"</f>
        <v>97/09/10</v>
      </c>
      <c r="C5" s="2" t="str">
        <f>"بابت واريزي شارژ توسط رضا مختار نژاد"</f>
        <v>بابت واريزي شارژ توسط رضا مختار نژاد</v>
      </c>
      <c r="D5" s="2">
        <v>0</v>
      </c>
      <c r="E5" s="2">
        <v>3800000</v>
      </c>
      <c r="F5" s="1" t="str">
        <f>""</f>
        <v/>
      </c>
    </row>
    <row r="6" spans="1:6" ht="18" x14ac:dyDescent="0.2">
      <c r="A6" s="2">
        <v>5</v>
      </c>
      <c r="B6" s="2" t="str">
        <f>"97/10/01"</f>
        <v>97/10/01</v>
      </c>
      <c r="C6" s="2" t="str">
        <f>"بابت شارژ دي 97"</f>
        <v>بابت شارژ دي 97</v>
      </c>
      <c r="D6" s="2">
        <v>5024415</v>
      </c>
      <c r="E6" s="2">
        <v>0</v>
      </c>
      <c r="F6" s="1" t="str">
        <f>""</f>
        <v/>
      </c>
    </row>
    <row r="7" spans="1:6" ht="18" x14ac:dyDescent="0.2">
      <c r="A7" s="2">
        <v>6</v>
      </c>
      <c r="B7" s="2" t="str">
        <f>"97/10/04"</f>
        <v>97/10/04</v>
      </c>
      <c r="C7" s="2" t="str">
        <f>"بابت واريزي شارژ توسط رضا مختار نژاد"</f>
        <v>بابت واريزي شارژ توسط رضا مختار نژاد</v>
      </c>
      <c r="D7" s="2">
        <v>0</v>
      </c>
      <c r="E7" s="2">
        <v>3800000</v>
      </c>
      <c r="F7" s="1" t="str">
        <f>""</f>
        <v/>
      </c>
    </row>
    <row r="8" spans="1:6" ht="18" x14ac:dyDescent="0.2">
      <c r="A8" s="2">
        <v>7</v>
      </c>
      <c r="B8" s="2" t="str">
        <f>"97/11/01"</f>
        <v>97/11/01</v>
      </c>
      <c r="C8" s="2" t="str">
        <f>"بابت شارژ  بهمن ماه 97"</f>
        <v>بابت شارژ  بهمن ماه 97</v>
      </c>
      <c r="D8" s="2">
        <v>5024415</v>
      </c>
      <c r="E8" s="2">
        <v>0</v>
      </c>
      <c r="F8" s="1" t="str">
        <f>""</f>
        <v/>
      </c>
    </row>
    <row r="9" spans="1:6" ht="18" x14ac:dyDescent="0.2">
      <c r="A9" s="2">
        <v>8</v>
      </c>
      <c r="B9" s="2" t="str">
        <f>"97/11/06"</f>
        <v>97/11/06</v>
      </c>
      <c r="C9" s="2" t="str">
        <f>"بابت واريزي شارژ توسط رضا مختار نژاد"</f>
        <v>بابت واريزي شارژ توسط رضا مختار نژاد</v>
      </c>
      <c r="D9" s="2">
        <v>0</v>
      </c>
      <c r="E9" s="2">
        <v>3800000</v>
      </c>
      <c r="F9" s="1" t="str">
        <f>""</f>
        <v/>
      </c>
    </row>
    <row r="10" spans="1:6" ht="18" x14ac:dyDescent="0.2">
      <c r="A10" s="2">
        <v>9</v>
      </c>
      <c r="B10" s="2" t="str">
        <f>"97/12/01"</f>
        <v>97/12/01</v>
      </c>
      <c r="C10" s="2" t="str">
        <f>"بابت شارژ  اسفندماه   97"</f>
        <v>بابت شارژ  اسفندماه   97</v>
      </c>
      <c r="D10" s="2">
        <v>5024415</v>
      </c>
      <c r="E10" s="2">
        <v>0</v>
      </c>
      <c r="F10" s="1" t="str">
        <f>""</f>
        <v/>
      </c>
    </row>
    <row r="11" spans="1:6" ht="18" x14ac:dyDescent="0.2">
      <c r="A11" s="2">
        <v>10</v>
      </c>
      <c r="B11" s="2" t="str">
        <f>"97/12/11"</f>
        <v>97/12/11</v>
      </c>
      <c r="C11" s="2" t="str">
        <f>"بابت واريزي شارژ توسط رضا مختار نژاد"</f>
        <v>بابت واريزي شارژ توسط رضا مختار نژاد</v>
      </c>
      <c r="D11" s="2">
        <v>0</v>
      </c>
      <c r="E11" s="2">
        <v>5000000</v>
      </c>
      <c r="F11" s="1" t="str">
        <f>""</f>
        <v/>
      </c>
    </row>
    <row r="12" spans="1:6" ht="18" x14ac:dyDescent="0.2">
      <c r="A12" s="2">
        <v>11</v>
      </c>
      <c r="B12" s="2" t="str">
        <f>"98/01/02"</f>
        <v>98/01/02</v>
      </c>
      <c r="C12" s="2" t="str">
        <f>"بابت شارژ فروردين 98"</f>
        <v>بابت شارژ فروردين 98</v>
      </c>
      <c r="D12" s="2">
        <v>5024415</v>
      </c>
      <c r="E12" s="2">
        <v>0</v>
      </c>
      <c r="F12" s="1" t="str">
        <f>""</f>
        <v/>
      </c>
    </row>
    <row r="13" spans="1:6" ht="18" x14ac:dyDescent="0.2">
      <c r="A13" s="2">
        <v>12</v>
      </c>
      <c r="B13" s="2" t="str">
        <f>"98/01/21"</f>
        <v>98/01/21</v>
      </c>
      <c r="C13" s="2" t="str">
        <f>"بابت واريزي شارژ توسط رضا مختار نژاد"</f>
        <v>بابت واريزي شارژ توسط رضا مختار نژاد</v>
      </c>
      <c r="D13" s="2">
        <v>0</v>
      </c>
      <c r="E13" s="2">
        <v>5010000</v>
      </c>
      <c r="F13" s="1" t="str">
        <f>""</f>
        <v/>
      </c>
    </row>
    <row r="14" spans="1:6" ht="18" x14ac:dyDescent="0.2">
      <c r="A14" s="2">
        <v>13</v>
      </c>
      <c r="B14" s="2" t="str">
        <f>"98/02/01"</f>
        <v>98/02/01</v>
      </c>
      <c r="C14" s="2" t="str">
        <f>"بابت شارژ ارديبهشت ماه 98"</f>
        <v>بابت شارژ ارديبهشت ماه 98</v>
      </c>
      <c r="D14" s="2">
        <v>5024415</v>
      </c>
      <c r="E14" s="2">
        <v>0</v>
      </c>
      <c r="F14" s="1" t="str">
        <f>""</f>
        <v/>
      </c>
    </row>
    <row r="15" spans="1:6" ht="18" x14ac:dyDescent="0.2">
      <c r="A15" s="2">
        <v>14</v>
      </c>
      <c r="B15" s="2" t="str">
        <f>"98/02/14"</f>
        <v>98/02/14</v>
      </c>
      <c r="C15" s="2" t="str">
        <f>"بابت واريزي شارژ توسط رضا مختار نژاد"</f>
        <v>بابت واريزي شارژ توسط رضا مختار نژاد</v>
      </c>
      <c r="D15" s="2">
        <v>0</v>
      </c>
      <c r="E15" s="2">
        <v>5000000</v>
      </c>
      <c r="F15" s="1" t="str">
        <f>""</f>
        <v/>
      </c>
    </row>
    <row r="16" spans="1:6" ht="18" x14ac:dyDescent="0.2">
      <c r="A16" s="2">
        <v>15</v>
      </c>
      <c r="B16" s="2" t="str">
        <f>"98/03/01"</f>
        <v>98/03/01</v>
      </c>
      <c r="C16" s="2" t="str">
        <f>"بابت شارژ خرداد ماه 98"</f>
        <v>بابت شارژ خرداد ماه 98</v>
      </c>
      <c r="D16" s="2">
        <v>5024415</v>
      </c>
      <c r="E16" s="2">
        <v>0</v>
      </c>
      <c r="F16" s="1" t="str">
        <f>""</f>
        <v/>
      </c>
    </row>
    <row r="17" spans="1:6" ht="18" x14ac:dyDescent="0.2">
      <c r="A17" s="2">
        <v>16</v>
      </c>
      <c r="B17" s="2" t="str">
        <f>"98/03/11"</f>
        <v>98/03/11</v>
      </c>
      <c r="C17" s="2" t="str">
        <f>"بابت واريزي شارژ توسط مختارنژاد"</f>
        <v>بابت واريزي شارژ توسط مختارنژاد</v>
      </c>
      <c r="D17" s="2">
        <v>0</v>
      </c>
      <c r="E17" s="2">
        <v>5000000</v>
      </c>
      <c r="F17" s="1" t="str">
        <f>""</f>
        <v/>
      </c>
    </row>
    <row r="18" spans="1:6" ht="18" x14ac:dyDescent="0.2">
      <c r="A18" s="2">
        <v>17</v>
      </c>
      <c r="B18" s="2" t="str">
        <f>"98/03/31"</f>
        <v>98/03/31</v>
      </c>
      <c r="C18" s="2" t="str">
        <f>"بابت بدهي اصلاح شارژ تراس ها 50% با توجه به تذکر کتبي بازرس قانوني طي نامه و تائيد خزانه دار"</f>
        <v>بابت بدهي اصلاح شارژ تراس ها 50% با توجه به تذکر کتبي بازرس قانوني طي نامه و تائيد خزانه دار</v>
      </c>
      <c r="D18" s="2">
        <v>49500</v>
      </c>
      <c r="E18" s="2">
        <v>0</v>
      </c>
      <c r="F18" s="1" t="str">
        <f>""</f>
        <v/>
      </c>
    </row>
    <row r="19" spans="1:6" ht="18" x14ac:dyDescent="0.2">
      <c r="A19" s="2">
        <v>18</v>
      </c>
      <c r="B19" s="2" t="str">
        <f>"98/04/01"</f>
        <v>98/04/01</v>
      </c>
      <c r="C19" s="2" t="str">
        <f>"بابت شارژ  تير ماه 98"</f>
        <v>بابت شارژ  تير ماه 98</v>
      </c>
      <c r="D19" s="2">
        <v>5333300</v>
      </c>
      <c r="E19" s="2">
        <v>0</v>
      </c>
      <c r="F19" s="1" t="str">
        <f>""</f>
        <v/>
      </c>
    </row>
    <row r="20" spans="1:6" ht="18" x14ac:dyDescent="0.2">
      <c r="A20" s="2">
        <v>19</v>
      </c>
      <c r="B20" s="2" t="str">
        <f>"98/04/10"</f>
        <v>98/04/10</v>
      </c>
      <c r="C20" s="2" t="str">
        <f>"بابت واريزي شارژ توسط مختارنژاد"</f>
        <v>بابت واريزي شارژ توسط مختارنژاد</v>
      </c>
      <c r="D20" s="2">
        <v>0</v>
      </c>
      <c r="E20" s="2">
        <v>5000000</v>
      </c>
      <c r="F20" s="1" t="str">
        <f>""</f>
        <v/>
      </c>
    </row>
    <row r="21" spans="1:6" ht="18" x14ac:dyDescent="0.2">
      <c r="A21" s="2">
        <v>20</v>
      </c>
      <c r="B21" s="2" t="str">
        <f>"98/05/01"</f>
        <v>98/05/01</v>
      </c>
      <c r="C21" s="2" t="str">
        <f>"بابت شارژ  مرداد ماه 98"</f>
        <v>بابت شارژ  مرداد ماه 98</v>
      </c>
      <c r="D21" s="2">
        <v>5333300</v>
      </c>
      <c r="E21" s="2">
        <v>0</v>
      </c>
      <c r="F21" s="1" t="str">
        <f>""</f>
        <v/>
      </c>
    </row>
    <row r="22" spans="1:6" ht="18" x14ac:dyDescent="0.2">
      <c r="A22" s="2">
        <v>21</v>
      </c>
      <c r="B22" s="2" t="str">
        <f>"98/05/13"</f>
        <v>98/05/13</v>
      </c>
      <c r="C22" s="2" t="str">
        <f>"بابت واريزي شارژ توسط آقاي رضا مختارنژاد از طريق آپ"</f>
        <v>بابت واريزي شارژ توسط آقاي رضا مختارنژاد از طريق آپ</v>
      </c>
      <c r="D22" s="2">
        <v>0</v>
      </c>
      <c r="E22" s="2">
        <v>5300000</v>
      </c>
      <c r="F22" s="1" t="str">
        <f>""</f>
        <v/>
      </c>
    </row>
    <row r="23" spans="1:6" ht="18" x14ac:dyDescent="0.2">
      <c r="A23" s="2">
        <v>22</v>
      </c>
      <c r="B23" s="2" t="str">
        <f>"98/06/01"</f>
        <v>98/06/01</v>
      </c>
      <c r="C23" s="2" t="str">
        <f>"بابت شارژ  شهريور  ماه 98"</f>
        <v>بابت شارژ  شهريور  ماه 98</v>
      </c>
      <c r="D23" s="2">
        <v>5333300</v>
      </c>
      <c r="E23" s="2">
        <v>0</v>
      </c>
      <c r="F23" s="1" t="str">
        <f>""</f>
        <v/>
      </c>
    </row>
    <row r="24" spans="1:6" ht="18" x14ac:dyDescent="0.2">
      <c r="A24" s="2">
        <v>23</v>
      </c>
      <c r="B24" s="2" t="str">
        <f>"98/06/25"</f>
        <v>98/06/25</v>
      </c>
      <c r="C24" s="2" t="str">
        <f>"واريزي آقاي مختارنژاد بابت شارژ از طريق درگاه"</f>
        <v>واريزي آقاي مختارنژاد بابت شارژ از طريق درگاه</v>
      </c>
      <c r="D24" s="2">
        <v>0</v>
      </c>
      <c r="E24" s="2">
        <v>5333300</v>
      </c>
      <c r="F24" s="1" t="str">
        <f>""</f>
        <v/>
      </c>
    </row>
    <row r="25" spans="1:6" ht="18" x14ac:dyDescent="0.2">
      <c r="A25" s="2">
        <v>24</v>
      </c>
      <c r="B25" s="2" t="str">
        <f>"98/07/01"</f>
        <v>98/07/01</v>
      </c>
      <c r="C25" s="2" t="str">
        <f>"بابت شارژ  مهر ماه 98"</f>
        <v>بابت شارژ  مهر ماه 98</v>
      </c>
      <c r="D25" s="2">
        <v>5333300</v>
      </c>
      <c r="E25" s="2">
        <v>0</v>
      </c>
      <c r="F25" s="1" t="str">
        <f>""</f>
        <v/>
      </c>
    </row>
    <row r="26" spans="1:6" ht="18" x14ac:dyDescent="0.2">
      <c r="A26" s="2"/>
      <c r="B26" s="2"/>
      <c r="C26" s="2"/>
      <c r="D26" s="2">
        <f>SUM(D2:D25)</f>
        <v>66602435</v>
      </c>
      <c r="E26" s="2">
        <f>SUM(E2:E25)</f>
        <v>47043300</v>
      </c>
    </row>
    <row r="27" spans="1:6" ht="18" x14ac:dyDescent="0.45">
      <c r="C27" s="3" t="s">
        <v>5</v>
      </c>
      <c r="D27" s="4">
        <f>D26-E26</f>
        <v>19559135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</dc:creator>
  <cp:lastModifiedBy>ahmad rahmani</cp:lastModifiedBy>
  <dcterms:created xsi:type="dcterms:W3CDTF">2019-10-12T10:37:09Z</dcterms:created>
  <dcterms:modified xsi:type="dcterms:W3CDTF">2019-10-12T10:47:41Z</dcterms:modified>
</cp:coreProperties>
</file>